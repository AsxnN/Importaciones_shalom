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\Desktop\LUAN\"/>
    </mc:Choice>
  </mc:AlternateContent>
  <xr:revisionPtr revIDLastSave="0" documentId="13_ncr:1_{93A7F740-0528-4429-8CCD-3F5E5B18BFD8}" xr6:coauthVersionLast="47" xr6:coauthVersionMax="47" xr10:uidLastSave="{00000000-0000-0000-0000-000000000000}"/>
  <bookViews>
    <workbookView xWindow="28680" yWindow="780" windowWidth="29040" windowHeight="15720" xr2:uid="{53B37BC1-94C9-4D7F-A225-A3F2526B63B9}"/>
  </bookViews>
  <sheets>
    <sheet name="IMP-STO" sheetId="1" r:id="rId1"/>
    <sheet name="CONST" sheetId="8" r:id="rId2"/>
  </sheets>
  <definedNames>
    <definedName name="_xlnm._FilterDatabase" localSheetId="1" hidden="1">CONST!$A$1:$D$34</definedName>
    <definedName name="_xlnm._FilterDatabase" localSheetId="0" hidden="1">'IMP-STO'!$A$1:$S$16</definedName>
    <definedName name="NOV">#REF!</definedName>
    <definedName name="OCT">#REF!</definedName>
    <definedName name="SEP">#REF!</definedName>
    <definedName name="Tabla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U12" i="1" s="1"/>
  <c r="T13" i="1"/>
  <c r="U13" i="1" s="1"/>
  <c r="T14" i="1"/>
  <c r="T15" i="1"/>
  <c r="T16" i="1"/>
  <c r="T17" i="1"/>
  <c r="T18" i="1"/>
  <c r="T19" i="1"/>
  <c r="T20" i="1"/>
  <c r="U20" i="1" s="1"/>
  <c r="T21" i="1"/>
  <c r="U21" i="1" s="1"/>
  <c r="T2" i="1"/>
  <c r="U19" i="1"/>
  <c r="O2" i="1"/>
  <c r="S14" i="1"/>
  <c r="O10" i="1"/>
  <c r="O11" i="1"/>
  <c r="O12" i="1"/>
  <c r="P12" i="1" s="1"/>
  <c r="O13" i="1"/>
  <c r="P13" i="1" s="1"/>
  <c r="O14" i="1"/>
  <c r="S12" i="1"/>
  <c r="S13" i="1"/>
  <c r="S11" i="1"/>
  <c r="S8" i="1"/>
  <c r="O8" i="1"/>
  <c r="O21" i="1"/>
  <c r="O15" i="1"/>
  <c r="P15" i="1" s="1"/>
  <c r="S15" i="1"/>
  <c r="O6" i="1"/>
  <c r="O9" i="1"/>
  <c r="O18" i="1"/>
  <c r="O17" i="1"/>
  <c r="O16" i="1"/>
  <c r="O19" i="1"/>
  <c r="O7" i="1"/>
  <c r="O3" i="1"/>
  <c r="O4" i="1"/>
  <c r="O5" i="1"/>
  <c r="O20" i="1"/>
  <c r="D39" i="8"/>
  <c r="S2" i="1"/>
  <c r="S3" i="1"/>
  <c r="D21" i="8"/>
  <c r="D34" i="8"/>
  <c r="Q12" i="1" l="1"/>
  <c r="Q13" i="1"/>
  <c r="Q15" i="1"/>
  <c r="U3" i="1"/>
  <c r="U4" i="1"/>
  <c r="U5" i="1"/>
  <c r="U6" i="1"/>
  <c r="U7" i="1"/>
  <c r="U8" i="1"/>
  <c r="U9" i="1"/>
  <c r="U10" i="1"/>
  <c r="U11" i="1"/>
  <c r="U14" i="1"/>
  <c r="U15" i="1"/>
  <c r="U16" i="1"/>
  <c r="U17" i="1"/>
  <c r="U18" i="1"/>
  <c r="U2" i="1"/>
  <c r="P7" i="1"/>
  <c r="D22" i="8"/>
  <c r="D17" i="8"/>
  <c r="D19" i="8"/>
  <c r="D23" i="8"/>
  <c r="D24" i="8"/>
  <c r="D25" i="8"/>
  <c r="D16" i="8"/>
  <c r="D26" i="8"/>
  <c r="D15" i="8"/>
  <c r="D28" i="8"/>
  <c r="D35" i="8"/>
  <c r="D29" i="8"/>
  <c r="D31" i="8"/>
  <c r="D36" i="8"/>
  <c r="D4" i="8"/>
  <c r="D2" i="8"/>
  <c r="D8" i="8"/>
  <c r="D12" i="8"/>
  <c r="D37" i="8"/>
  <c r="D33" i="8"/>
  <c r="D27" i="8"/>
  <c r="D10" i="8"/>
  <c r="D14" i="8"/>
  <c r="D5" i="8"/>
  <c r="D13" i="8"/>
  <c r="D6" i="8"/>
  <c r="D7" i="8"/>
  <c r="D20" i="8"/>
  <c r="D38" i="8"/>
  <c r="D3" i="8"/>
  <c r="D9" i="8"/>
  <c r="D11" i="8"/>
  <c r="D30" i="8"/>
  <c r="S7" i="1"/>
  <c r="Q7" i="1" l="1"/>
  <c r="P4" i="1" l="1"/>
  <c r="P5" i="1"/>
  <c r="D18" i="8"/>
  <c r="S4" i="1"/>
  <c r="S5" i="1"/>
  <c r="S6" i="1"/>
  <c r="S9" i="1"/>
  <c r="S10" i="1"/>
  <c r="S18" i="1"/>
  <c r="S17" i="1"/>
  <c r="S16" i="1"/>
  <c r="S19" i="1"/>
  <c r="S20" i="1"/>
  <c r="S21" i="1"/>
  <c r="P3" i="1" l="1"/>
  <c r="Q3" i="1" s="1"/>
  <c r="P9" i="1"/>
  <c r="Q9" i="1" s="1"/>
  <c r="P10" i="1"/>
  <c r="Q10" i="1" s="1"/>
  <c r="P6" i="1"/>
  <c r="Q6" i="1" s="1"/>
  <c r="P14" i="1"/>
  <c r="Q14" i="1" s="1"/>
  <c r="P21" i="1"/>
  <c r="Q21" i="1" s="1"/>
  <c r="P19" i="1"/>
  <c r="Q19" i="1" s="1"/>
  <c r="P16" i="1"/>
  <c r="Q16" i="1" s="1"/>
  <c r="P17" i="1"/>
  <c r="Q17" i="1" s="1"/>
  <c r="P18" i="1"/>
  <c r="Q18" i="1" s="1"/>
  <c r="P11" i="1"/>
  <c r="Q11" i="1" s="1"/>
  <c r="P8" i="1"/>
  <c r="Q8" i="1" s="1"/>
  <c r="P20" i="1"/>
  <c r="Q20" i="1" s="1"/>
  <c r="P2" i="1"/>
  <c r="Q2" i="1" s="1"/>
  <c r="Q5" i="1"/>
  <c r="Q4" i="1"/>
</calcChain>
</file>

<file path=xl/sharedStrings.xml><?xml version="1.0" encoding="utf-8"?>
<sst xmlns="http://schemas.openxmlformats.org/spreadsheetml/2006/main" count="83" uniqueCount="81">
  <si>
    <t>BOLSA SEG. GRANDE</t>
  </si>
  <si>
    <t>BOLSA SEG. MEDIANA</t>
  </si>
  <si>
    <t>BOLSA SEG. PEQUEÑO</t>
  </si>
  <si>
    <t xml:space="preserve">BURBUPACK- 50 CM </t>
  </si>
  <si>
    <t>CINTAS-EMBALAJE 2 X 100 YDS</t>
  </si>
  <si>
    <t>PAQUETE S</t>
  </si>
  <si>
    <t>PAQUETE XS</t>
  </si>
  <si>
    <t>PAQUETE XXS</t>
  </si>
  <si>
    <t>STRECH FILM - 15</t>
  </si>
  <si>
    <t>STRECH FILM- 15/2Kg (EMBALAJE)</t>
  </si>
  <si>
    <t>SEP</t>
  </si>
  <si>
    <t>OCT</t>
  </si>
  <si>
    <t>NOV</t>
  </si>
  <si>
    <t>PROM MEN</t>
  </si>
  <si>
    <t>STOCK MIN</t>
  </si>
  <si>
    <t>SEG</t>
  </si>
  <si>
    <t>STOCK MIN F</t>
  </si>
  <si>
    <t>COMPRA</t>
  </si>
  <si>
    <t>CONTOMETRO</t>
  </si>
  <si>
    <t>ROLLO QR DIRECTO</t>
  </si>
  <si>
    <t>STOCK REAL</t>
  </si>
  <si>
    <t>PRODUCTOS CONSTRUCCION</t>
  </si>
  <si>
    <t>BATERIA 12V/7AH P/ PANEL</t>
  </si>
  <si>
    <t>cable NH -90 de 2.5 mm INDECO AZUL x rollo</t>
  </si>
  <si>
    <t>cable NH -90 de 2.5 mm INDECO NEGRO x rollo</t>
  </si>
  <si>
    <t>cable NH -90 de 2.5 mm INDECO ROJO x rollo</t>
  </si>
  <si>
    <t>cable NH -90 de 2.5 mm INDECO TIERRA AMARILLO/VERDE x rollo</t>
  </si>
  <si>
    <t>CABLE NH -90 DE 4 MM AZUL INDECO X ROLLO</t>
  </si>
  <si>
    <t>CABLE NH -90 DE 4 MM ROJO INDECO X ROLLO</t>
  </si>
  <si>
    <t>CABLE NH -90 DE 6 MM ROJO INDECO X ROLLO</t>
  </si>
  <si>
    <t>ESTACION MANUAL DOBLE ACCION HAGROY</t>
  </si>
  <si>
    <t>LUCES DE EMERGENCIA 8H</t>
  </si>
  <si>
    <t>LUMINARIA HIGH BAY LED 6500K LEDVANCE 150W</t>
  </si>
  <si>
    <t>LUMINARIA HIGH BAY LED 6500K LEDVANCE 200W</t>
  </si>
  <si>
    <t>LUMINARIA TIPO PANEL LED 40W 4000LM</t>
  </si>
  <si>
    <t>PANEL CONVENCIONAL 5 ZONAS</t>
  </si>
  <si>
    <t>REFLECTOR LED 200W 6500K PHILIPS</t>
  </si>
  <si>
    <t>REFLECTOR LED 300W 6500K PHILIPS</t>
  </si>
  <si>
    <t>SIRENA ESTROBOSCOPICA HAGROY</t>
  </si>
  <si>
    <t>DIC</t>
  </si>
  <si>
    <t>SOBRE DE BURBUJA PEQUEÑO 130x180+45mm</t>
  </si>
  <si>
    <t>SOBRE DE BURBUJA MEDIANO 220x250+45mm</t>
  </si>
  <si>
    <t>SOBRE DE BURBUJA GRANDE 260x320+45mm</t>
  </si>
  <si>
    <t>SOBRE DE CARTON VERTICAL 250x345+50MM</t>
  </si>
  <si>
    <t>STOCK MINIMO</t>
  </si>
  <si>
    <t>CABLE NH -90 DE 4 MM NEGRO INDECO X ROLLO</t>
  </si>
  <si>
    <t>CABLE NH -90 DE 4 MM VERDE/AMARILLO INDECO X ROLLO</t>
  </si>
  <si>
    <t>CABLE NH -90 DE 4 MM BLANCO INDECO X ROLLO</t>
  </si>
  <si>
    <t>CABLE NH -90 DE 6 MM BLANCO X ROLLO</t>
  </si>
  <si>
    <t>CABLE NH -90 DE 6 MM VERDE/AMARILLO X ROLLO</t>
  </si>
  <si>
    <t>CABLE NH -90 DE 6 MM AZUL INDECO X ROLLO</t>
  </si>
  <si>
    <t>CABLE NH -90 DE 6 MM NEGRO INDECO X ROLLO</t>
  </si>
  <si>
    <t>PRODUCTOS</t>
  </si>
  <si>
    <t>ENE</t>
  </si>
  <si>
    <t>SACO DE LONA</t>
  </si>
  <si>
    <t>FEB</t>
  </si>
  <si>
    <t>MAR</t>
  </si>
  <si>
    <t>CINTAS-EMBALAJE 2 X 50 YDS</t>
  </si>
  <si>
    <t>CERAMICO BLANCO 30X60 LLG36001</t>
  </si>
  <si>
    <t>CERAMICO GRIS 60X60 SRK66013</t>
  </si>
  <si>
    <t>DETECTOR DE HUMO HAGROY</t>
  </si>
  <si>
    <t>DETECTOR DE HUMO NUMENS</t>
  </si>
  <si>
    <t>DETECTOR PHOTOBEAN GST</t>
  </si>
  <si>
    <t>DETECTOR PHOTOBEAN HAGROY</t>
  </si>
  <si>
    <t>ESTACION MANUAL DOBLE ACCION FIRE-LITE</t>
  </si>
  <si>
    <t>LUMINARIA TIPO PANEL LED 22W 2000LM</t>
  </si>
  <si>
    <t>PORCELANATO GRIS CHISPEADO 60X60 SRK 76121 A1</t>
  </si>
  <si>
    <t>PANEL RAVEL 08 ZONAS (PANEL RAVEL 08 ZONAS 2 HILOS CERT UL)</t>
  </si>
  <si>
    <t>SIRENA SYSTEM SENSOR (SIRENA ESTROBOSCOPICA SYSTEM SENSOR)</t>
  </si>
  <si>
    <t>ABR</t>
  </si>
  <si>
    <t>M.D</t>
  </si>
  <si>
    <t>DATE</t>
  </si>
  <si>
    <t>STOCK MIN F - R</t>
  </si>
  <si>
    <t>CABLE FPLR 2X18 CALIBRE 18 AWG - 305 METROS</t>
  </si>
  <si>
    <t>LUMINARIA HIGH BAY LED 6500K PHILIPS 100W</t>
  </si>
  <si>
    <t>MAY</t>
  </si>
  <si>
    <t>PANEL RAVEL 04 ZONAS 2 HILOS CERT UL (PANEL RAVEL 04 ZONAS)</t>
  </si>
  <si>
    <t>JUN</t>
  </si>
  <si>
    <t>JUL</t>
  </si>
  <si>
    <t>PRECINTO-PQT 100 UND-20 CM</t>
  </si>
  <si>
    <t>PRECINTO-PQT 100 UND-30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</si>
</sst>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06788F8C-5D7C-4FEA-A651-D296FD341AD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7B0A-FE51-4F99-B8DB-6818AEF91406}">
  <sheetPr>
    <pageSetUpPr autoPageBreaks="0"/>
  </sheetPr>
  <dimension ref="A1:U21"/>
  <sheetViews>
    <sheetView tabSelected="1" zoomScaleNormal="100" workbookViewId="0">
      <selection activeCell="N27" sqref="N27"/>
    </sheetView>
  </sheetViews>
  <sheetFormatPr baseColWidth="10" defaultRowHeight="15" x14ac:dyDescent="0.25"/>
  <cols>
    <col min="1" max="1" width="42.5703125" style="8" bestFit="1" customWidth="1"/>
    <col min="2" max="2" width="9.42578125" style="8" hidden="1" customWidth="1"/>
    <col min="3" max="3" width="8.5703125" style="8" hidden="1" customWidth="1"/>
    <col min="4" max="7" width="10.42578125" style="8" hidden="1" customWidth="1"/>
    <col min="8" max="8" width="7.28515625" style="8" hidden="1" customWidth="1"/>
    <col min="9" max="10" width="14.42578125" style="8" customWidth="1"/>
    <col min="11" max="11" width="13.140625" style="8" customWidth="1"/>
    <col min="12" max="12" width="11.140625" style="8" customWidth="1"/>
    <col min="13" max="13" width="13.42578125" style="8" customWidth="1"/>
    <col min="14" max="14" width="14.42578125" style="8" bestFit="1" customWidth="1"/>
    <col min="15" max="17" width="13.42578125" style="8" customWidth="1"/>
    <col min="18" max="18" width="14.7109375" style="8" customWidth="1"/>
    <col min="19" max="20" width="13.140625" style="8" customWidth="1"/>
    <col min="21" max="21" width="39.5703125" style="8" customWidth="1"/>
    <col min="22" max="22" width="11.42578125" customWidth="1"/>
  </cols>
  <sheetData>
    <row r="1" spans="1:21" x14ac:dyDescent="0.25">
      <c r="A1" s="1" t="s">
        <v>52</v>
      </c>
      <c r="B1" s="1" t="s">
        <v>10</v>
      </c>
      <c r="C1" s="1" t="s">
        <v>11</v>
      </c>
      <c r="D1" s="1" t="s">
        <v>12</v>
      </c>
      <c r="E1" s="1" t="s">
        <v>39</v>
      </c>
      <c r="F1" s="1" t="s">
        <v>53</v>
      </c>
      <c r="G1" s="1" t="s">
        <v>55</v>
      </c>
      <c r="H1" s="1" t="s">
        <v>56</v>
      </c>
      <c r="I1" s="1" t="s">
        <v>69</v>
      </c>
      <c r="J1" s="1" t="s">
        <v>75</v>
      </c>
      <c r="K1" s="1" t="s">
        <v>77</v>
      </c>
      <c r="L1" s="1" t="s">
        <v>78</v>
      </c>
      <c r="M1" s="1" t="s">
        <v>13</v>
      </c>
      <c r="N1" s="1" t="s">
        <v>20</v>
      </c>
      <c r="O1" s="1" t="s">
        <v>14</v>
      </c>
      <c r="P1" s="1" t="s">
        <v>15</v>
      </c>
      <c r="Q1" s="1" t="s">
        <v>16</v>
      </c>
      <c r="R1" s="1" t="s">
        <v>72</v>
      </c>
      <c r="S1" s="1" t="s">
        <v>17</v>
      </c>
      <c r="T1" s="1" t="s">
        <v>70</v>
      </c>
      <c r="U1" s="2" t="s">
        <v>71</v>
      </c>
    </row>
    <row r="2" spans="1:21" x14ac:dyDescent="0.25">
      <c r="A2" s="3" t="s">
        <v>0</v>
      </c>
      <c r="B2" s="13">
        <v>-22400</v>
      </c>
      <c r="C2" s="13">
        <v>-2200</v>
      </c>
      <c r="D2" s="13">
        <v>-18400</v>
      </c>
      <c r="E2" s="13">
        <v>-14800</v>
      </c>
      <c r="F2" s="13">
        <v>-16200</v>
      </c>
      <c r="G2" s="13">
        <v>-15000</v>
      </c>
      <c r="H2" s="13">
        <v>-89600</v>
      </c>
      <c r="I2" s="4">
        <v>-22000</v>
      </c>
      <c r="J2" s="4">
        <v>-12500</v>
      </c>
      <c r="K2" s="4">
        <v>-2500</v>
      </c>
      <c r="L2" s="4">
        <v>-16000</v>
      </c>
      <c r="M2" s="6">
        <v>15000</v>
      </c>
      <c r="N2" s="5">
        <v>48500</v>
      </c>
      <c r="O2" s="5">
        <f>M2*3</f>
        <v>45000</v>
      </c>
      <c r="P2" s="5">
        <f>O2*0.2</f>
        <v>9000</v>
      </c>
      <c r="Q2" s="6">
        <f>O2+P2</f>
        <v>54000</v>
      </c>
      <c r="R2" s="3">
        <v>60000</v>
      </c>
      <c r="S2" s="3">
        <f>R2*2</f>
        <v>120000</v>
      </c>
      <c r="T2" s="7">
        <f>N2*3/R2</f>
        <v>2.4249999999999998</v>
      </c>
      <c r="U2" s="3" t="str">
        <f ca="1">INT(T2)&amp;" mes(es) y "&amp;ROUND(MOD(T2,1)*30,0)&amp;" día(s) - vence: "&amp;TEXT(TODAY()+T2*30,"dd/mm/yyyy")</f>
        <v>2 mes(es) y 13 día(s) - vence: 12/10/2026</v>
      </c>
    </row>
    <row r="3" spans="1:21" x14ac:dyDescent="0.25">
      <c r="A3" s="3" t="s">
        <v>1</v>
      </c>
      <c r="B3" s="13">
        <v>0</v>
      </c>
      <c r="C3" s="13">
        <v>0</v>
      </c>
      <c r="D3" s="13">
        <v>-3800</v>
      </c>
      <c r="E3" s="13">
        <v>-16200</v>
      </c>
      <c r="F3" s="13">
        <v>-7400</v>
      </c>
      <c r="G3" s="13">
        <v>-300</v>
      </c>
      <c r="H3" s="13">
        <v>-10000</v>
      </c>
      <c r="I3" s="4">
        <v>0</v>
      </c>
      <c r="J3" s="4">
        <v>0</v>
      </c>
      <c r="K3" s="4">
        <v>-5000</v>
      </c>
      <c r="L3" s="4">
        <v>0</v>
      </c>
      <c r="M3" s="6">
        <v>5000</v>
      </c>
      <c r="N3" s="5">
        <v>193000</v>
      </c>
      <c r="O3" s="5">
        <f>M3*3</f>
        <v>15000</v>
      </c>
      <c r="P3" s="5">
        <f>O3*0.2</f>
        <v>3000</v>
      </c>
      <c r="Q3" s="6">
        <f>O3+P3</f>
        <v>18000</v>
      </c>
      <c r="R3" s="3">
        <v>40000</v>
      </c>
      <c r="S3" s="3">
        <f>R3*2</f>
        <v>80000</v>
      </c>
      <c r="T3" s="7">
        <f t="shared" ref="T3:T21" si="0">N3*3/R3</f>
        <v>14.475</v>
      </c>
      <c r="U3" s="3" t="str">
        <f t="shared" ref="U3:U19" ca="1" si="1">INT(T3)&amp;" mes(es) y "&amp;ROUND(MOD(T3,1)*30,0)&amp;" día(s) - vence: "&amp;TEXT(TODAY()+T3*30,"dd/mm/yyyy")</f>
        <v>14 mes(es) y 14 día(s) - vence: 09/10/2027</v>
      </c>
    </row>
    <row r="4" spans="1:21" x14ac:dyDescent="0.25">
      <c r="A4" s="3" t="s">
        <v>2</v>
      </c>
      <c r="B4" s="13">
        <v>-11000</v>
      </c>
      <c r="C4" s="13">
        <v>-14800</v>
      </c>
      <c r="D4" s="13">
        <v>-11100</v>
      </c>
      <c r="E4" s="13">
        <v>-13600</v>
      </c>
      <c r="F4" s="13">
        <v>-10200</v>
      </c>
      <c r="G4" s="13">
        <v>-10200</v>
      </c>
      <c r="H4" s="13">
        <v>-6800</v>
      </c>
      <c r="I4" s="4">
        <v>0</v>
      </c>
      <c r="J4" s="4">
        <v>0</v>
      </c>
      <c r="K4" s="4">
        <v>-10000</v>
      </c>
      <c r="L4" s="4">
        <v>-8000</v>
      </c>
      <c r="M4" s="6">
        <v>10000</v>
      </c>
      <c r="N4" s="5">
        <v>141500</v>
      </c>
      <c r="O4" s="5">
        <f>M4*3</f>
        <v>30000</v>
      </c>
      <c r="P4" s="5">
        <f>O4*0.2</f>
        <v>6000</v>
      </c>
      <c r="Q4" s="6">
        <f>O4+P4</f>
        <v>36000</v>
      </c>
      <c r="R4" s="3">
        <v>40000</v>
      </c>
      <c r="S4" s="3">
        <f>R4*2</f>
        <v>80000</v>
      </c>
      <c r="T4" s="7">
        <f t="shared" si="0"/>
        <v>10.612500000000001</v>
      </c>
      <c r="U4" s="3" t="str">
        <f t="shared" ca="1" si="1"/>
        <v>10 mes(es) y 18 día(s) - vence: 15/06/2027</v>
      </c>
    </row>
    <row r="5" spans="1:21" x14ac:dyDescent="0.25">
      <c r="A5" s="3" t="s">
        <v>3</v>
      </c>
      <c r="B5" s="13">
        <v>-2106</v>
      </c>
      <c r="C5" s="13">
        <v>-2610</v>
      </c>
      <c r="D5" s="13">
        <v>-2800</v>
      </c>
      <c r="E5" s="13">
        <v>-2401</v>
      </c>
      <c r="F5" s="13">
        <v>-2300</v>
      </c>
      <c r="G5" s="13">
        <v>-2000</v>
      </c>
      <c r="H5" s="13">
        <v>-2220</v>
      </c>
      <c r="I5" s="4">
        <v>-3600</v>
      </c>
      <c r="J5" s="4">
        <v>-2400</v>
      </c>
      <c r="K5" s="4">
        <v>-300</v>
      </c>
      <c r="L5" s="4">
        <v>-350</v>
      </c>
      <c r="M5" s="6">
        <v>3000</v>
      </c>
      <c r="N5" s="5">
        <v>30000</v>
      </c>
      <c r="O5" s="5">
        <f>M5*3</f>
        <v>9000</v>
      </c>
      <c r="P5" s="5">
        <f>O5*0.2</f>
        <v>1800</v>
      </c>
      <c r="Q5" s="6">
        <f>O5+P5</f>
        <v>10800</v>
      </c>
      <c r="R5" s="3">
        <v>15000</v>
      </c>
      <c r="S5" s="3">
        <f>R5*2</f>
        <v>30000</v>
      </c>
      <c r="T5" s="7">
        <f t="shared" si="0"/>
        <v>6</v>
      </c>
      <c r="U5" s="3" t="str">
        <f t="shared" ca="1" si="1"/>
        <v>6 mes(es) y 0 día(s) - vence: 28/01/2027</v>
      </c>
    </row>
    <row r="6" spans="1:21" x14ac:dyDescent="0.25">
      <c r="A6" s="3" t="s">
        <v>4</v>
      </c>
      <c r="B6" s="13">
        <v>-864</v>
      </c>
      <c r="C6" s="13">
        <v>-1152</v>
      </c>
      <c r="D6" s="13">
        <v>-1800</v>
      </c>
      <c r="E6" s="13">
        <v>-1008</v>
      </c>
      <c r="F6" s="13">
        <v>-936</v>
      </c>
      <c r="G6" s="13">
        <v>-792</v>
      </c>
      <c r="H6" s="13">
        <v>-1080</v>
      </c>
      <c r="I6" s="4">
        <v>-2592</v>
      </c>
      <c r="J6" s="4">
        <v>-4824</v>
      </c>
      <c r="K6" s="4">
        <v>0</v>
      </c>
      <c r="L6" s="4">
        <v>0</v>
      </c>
      <c r="M6" s="6">
        <v>1200</v>
      </c>
      <c r="N6" s="5">
        <v>2584</v>
      </c>
      <c r="O6" s="5">
        <f>M6*3</f>
        <v>3600</v>
      </c>
      <c r="P6" s="5">
        <f>O6*0.2</f>
        <v>720</v>
      </c>
      <c r="Q6" s="6">
        <f>O6+P6</f>
        <v>4320</v>
      </c>
      <c r="R6" s="3">
        <v>4000</v>
      </c>
      <c r="S6" s="3">
        <f>R6*2</f>
        <v>8000</v>
      </c>
      <c r="T6" s="7">
        <f t="shared" si="0"/>
        <v>1.9379999999999999</v>
      </c>
      <c r="U6" s="3" t="str">
        <f t="shared" ca="1" si="1"/>
        <v>1 mes(es) y 28 día(s) - vence: 28/09/2026</v>
      </c>
    </row>
    <row r="7" spans="1:21" x14ac:dyDescent="0.25">
      <c r="A7" s="3" t="s">
        <v>57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-8220</v>
      </c>
      <c r="I7" s="4">
        <v>0</v>
      </c>
      <c r="J7" s="4">
        <v>0</v>
      </c>
      <c r="K7" s="4">
        <v>0</v>
      </c>
      <c r="L7" s="4">
        <v>0</v>
      </c>
      <c r="M7" s="6">
        <v>12000</v>
      </c>
      <c r="N7" s="5">
        <v>80000</v>
      </c>
      <c r="O7" s="5">
        <f>M7*3</f>
        <v>36000</v>
      </c>
      <c r="P7" s="5">
        <f>O7*0.2</f>
        <v>7200</v>
      </c>
      <c r="Q7" s="6">
        <f>O7+P7</f>
        <v>43200</v>
      </c>
      <c r="R7" s="3">
        <v>40000</v>
      </c>
      <c r="S7" s="3">
        <f>R7*2</f>
        <v>80000</v>
      </c>
      <c r="T7" s="7">
        <f t="shared" si="0"/>
        <v>6</v>
      </c>
      <c r="U7" s="3" t="str">
        <f t="shared" ca="1" si="1"/>
        <v>6 mes(es) y 0 día(s) - vence: 28/01/2027</v>
      </c>
    </row>
    <row r="8" spans="1:21" x14ac:dyDescent="0.25">
      <c r="A8" s="3" t="s">
        <v>18</v>
      </c>
      <c r="B8" s="13">
        <v>-14505</v>
      </c>
      <c r="C8" s="13">
        <v>-17100</v>
      </c>
      <c r="D8" s="13">
        <v>-19200</v>
      </c>
      <c r="E8" s="13">
        <v>-26850</v>
      </c>
      <c r="F8" s="13">
        <v>-21300</v>
      </c>
      <c r="G8" s="13">
        <v>-17400</v>
      </c>
      <c r="H8" s="13">
        <v>-21750</v>
      </c>
      <c r="I8" s="4">
        <v>-25200</v>
      </c>
      <c r="J8" s="4">
        <v>-600</v>
      </c>
      <c r="K8" s="4">
        <v>0</v>
      </c>
      <c r="L8" s="4">
        <v>-22000</v>
      </c>
      <c r="M8" s="6">
        <v>22000</v>
      </c>
      <c r="N8" s="3">
        <v>98000</v>
      </c>
      <c r="O8" s="5">
        <f>M8*3</f>
        <v>66000</v>
      </c>
      <c r="P8" s="5">
        <f>O8*0.2</f>
        <v>13200</v>
      </c>
      <c r="Q8" s="6">
        <f>O8+P8</f>
        <v>79200</v>
      </c>
      <c r="R8" s="3">
        <v>90000</v>
      </c>
      <c r="S8" s="3">
        <f>R8*2</f>
        <v>180000</v>
      </c>
      <c r="T8" s="7">
        <f t="shared" si="0"/>
        <v>3.2666666666666666</v>
      </c>
      <c r="U8" s="3" t="str">
        <f t="shared" ca="1" si="1"/>
        <v>3 mes(es) y 8 día(s) - vence: 07/11/2026</v>
      </c>
    </row>
    <row r="9" spans="1:21" x14ac:dyDescent="0.25">
      <c r="A9" s="3" t="s">
        <v>5</v>
      </c>
      <c r="B9" s="13">
        <v>-9784</v>
      </c>
      <c r="C9" s="13">
        <v>-10375</v>
      </c>
      <c r="D9" s="13">
        <v>-11304</v>
      </c>
      <c r="E9" s="13">
        <v>-10925</v>
      </c>
      <c r="F9" s="13">
        <v>-13971</v>
      </c>
      <c r="G9" s="13">
        <v>-14482</v>
      </c>
      <c r="H9" s="13">
        <v>-14860</v>
      </c>
      <c r="I9" s="4">
        <v>-17880</v>
      </c>
      <c r="J9" s="4">
        <v>-15400</v>
      </c>
      <c r="K9" s="4">
        <v>-2800</v>
      </c>
      <c r="L9" s="4">
        <v>-13180</v>
      </c>
      <c r="M9" s="6">
        <v>15000</v>
      </c>
      <c r="N9" s="5">
        <v>101820</v>
      </c>
      <c r="O9" s="5">
        <f>M9*3</f>
        <v>45000</v>
      </c>
      <c r="P9" s="5">
        <f>O9*0.2</f>
        <v>9000</v>
      </c>
      <c r="Q9" s="6">
        <f>O9+P9</f>
        <v>54000</v>
      </c>
      <c r="R9" s="3">
        <v>60000</v>
      </c>
      <c r="S9" s="3">
        <f>R9*2</f>
        <v>120000</v>
      </c>
      <c r="T9" s="7">
        <f t="shared" si="0"/>
        <v>5.0910000000000002</v>
      </c>
      <c r="U9" s="3" t="str">
        <f t="shared" ca="1" si="1"/>
        <v>5 mes(es) y 3 día(s) - vence: 31/12/2026</v>
      </c>
    </row>
    <row r="10" spans="1:21" x14ac:dyDescent="0.25">
      <c r="A10" s="3" t="s">
        <v>6</v>
      </c>
      <c r="B10" s="13">
        <v>-15083</v>
      </c>
      <c r="C10" s="13">
        <v>-16523</v>
      </c>
      <c r="D10" s="13">
        <v>-9625</v>
      </c>
      <c r="E10" s="13">
        <v>-23439</v>
      </c>
      <c r="F10" s="13">
        <v>-22876</v>
      </c>
      <c r="G10" s="13">
        <v>-17770</v>
      </c>
      <c r="H10" s="13">
        <v>-26200</v>
      </c>
      <c r="I10" s="4">
        <v>-18920</v>
      </c>
      <c r="J10" s="4">
        <v>0</v>
      </c>
      <c r="K10" s="4">
        <v>-30</v>
      </c>
      <c r="L10" s="4">
        <v>0</v>
      </c>
      <c r="M10" s="6">
        <v>15000</v>
      </c>
      <c r="N10" s="5">
        <v>229000</v>
      </c>
      <c r="O10" s="5">
        <f>M10*3</f>
        <v>45000</v>
      </c>
      <c r="P10" s="5">
        <f>O10*0.2</f>
        <v>9000</v>
      </c>
      <c r="Q10" s="6">
        <f>O10+P10</f>
        <v>54000</v>
      </c>
      <c r="R10" s="3">
        <v>60000</v>
      </c>
      <c r="S10" s="3">
        <f>R10*2</f>
        <v>120000</v>
      </c>
      <c r="T10" s="7">
        <f t="shared" si="0"/>
        <v>11.45</v>
      </c>
      <c r="U10" s="3" t="str">
        <f t="shared" ca="1" si="1"/>
        <v>11 mes(es) y 14 día(s) - vence: 10/07/2027</v>
      </c>
    </row>
    <row r="11" spans="1:21" x14ac:dyDescent="0.25">
      <c r="A11" s="3" t="s">
        <v>7</v>
      </c>
      <c r="B11" s="13">
        <v>-44666</v>
      </c>
      <c r="C11" s="13">
        <v>-30050</v>
      </c>
      <c r="D11" s="13">
        <v>-58957</v>
      </c>
      <c r="E11" s="13">
        <v>-45007</v>
      </c>
      <c r="F11" s="13">
        <v>-44646</v>
      </c>
      <c r="G11" s="13">
        <v>-45442</v>
      </c>
      <c r="H11" s="13">
        <v>-40000</v>
      </c>
      <c r="I11" s="4">
        <v>-14800</v>
      </c>
      <c r="J11" s="4">
        <v>-39860</v>
      </c>
      <c r="K11" s="4">
        <v>-24800</v>
      </c>
      <c r="L11" s="4">
        <v>-44900</v>
      </c>
      <c r="M11" s="6">
        <v>35000</v>
      </c>
      <c r="N11" s="5">
        <v>151067</v>
      </c>
      <c r="O11" s="5">
        <f>M11*3</f>
        <v>105000</v>
      </c>
      <c r="P11" s="5">
        <f>O11*0.2</f>
        <v>21000</v>
      </c>
      <c r="Q11" s="6">
        <f>O11+P11</f>
        <v>126000</v>
      </c>
      <c r="R11" s="3">
        <v>130000</v>
      </c>
      <c r="S11" s="3">
        <f>R11*2</f>
        <v>260000</v>
      </c>
      <c r="T11" s="7">
        <f t="shared" si="0"/>
        <v>3.4861615384615385</v>
      </c>
      <c r="U11" s="3" t="str">
        <f t="shared" ca="1" si="1"/>
        <v>3 mes(es) y 15 día(s) - vence: 13/11/2026</v>
      </c>
    </row>
    <row r="12" spans="1:21" x14ac:dyDescent="0.25">
      <c r="A12" s="3" t="s">
        <v>79</v>
      </c>
      <c r="B12" s="3"/>
      <c r="C12" s="3"/>
      <c r="D12" s="3"/>
      <c r="E12" s="3"/>
      <c r="F12" s="3"/>
      <c r="G12" s="3"/>
      <c r="H12" s="3"/>
      <c r="I12" s="4">
        <v>-1800</v>
      </c>
      <c r="J12" s="4">
        <v>0</v>
      </c>
      <c r="K12" s="4">
        <v>0</v>
      </c>
      <c r="L12" s="4">
        <v>0</v>
      </c>
      <c r="M12" s="6">
        <v>450</v>
      </c>
      <c r="N12" s="3">
        <v>500000</v>
      </c>
      <c r="O12" s="5">
        <f>M12*3</f>
        <v>1350</v>
      </c>
      <c r="P12" s="5">
        <f>O12*0.2</f>
        <v>270</v>
      </c>
      <c r="Q12" s="6">
        <f>O12+P12</f>
        <v>1620</v>
      </c>
      <c r="R12" s="3">
        <v>250000</v>
      </c>
      <c r="S12" s="3">
        <f>R12*2</f>
        <v>500000</v>
      </c>
      <c r="T12" s="7">
        <f t="shared" si="0"/>
        <v>6</v>
      </c>
      <c r="U12" s="3" t="str">
        <f t="shared" ca="1" si="1"/>
        <v>6 mes(es) y 0 día(s) - vence: 28/01/2027</v>
      </c>
    </row>
    <row r="13" spans="1:21" x14ac:dyDescent="0.25">
      <c r="A13" s="3" t="s">
        <v>80</v>
      </c>
      <c r="B13" s="3"/>
      <c r="C13" s="3"/>
      <c r="D13" s="3"/>
      <c r="E13" s="3"/>
      <c r="F13" s="3"/>
      <c r="G13" s="3"/>
      <c r="H13" s="3"/>
      <c r="I13" s="4">
        <v>0</v>
      </c>
      <c r="J13" s="4">
        <v>0</v>
      </c>
      <c r="K13" s="4">
        <v>0</v>
      </c>
      <c r="L13" s="4">
        <v>-1300</v>
      </c>
      <c r="M13" s="6">
        <v>1300</v>
      </c>
      <c r="N13" s="3">
        <v>3800</v>
      </c>
      <c r="O13" s="5">
        <f>M13*3</f>
        <v>3900</v>
      </c>
      <c r="P13" s="5">
        <f>O13*0.2</f>
        <v>780</v>
      </c>
      <c r="Q13" s="6">
        <f>O13+P13</f>
        <v>4680</v>
      </c>
      <c r="R13" s="3">
        <v>5000</v>
      </c>
      <c r="S13" s="3">
        <f>R13*2</f>
        <v>10000</v>
      </c>
      <c r="T13" s="7">
        <f t="shared" si="0"/>
        <v>2.2799999999999998</v>
      </c>
      <c r="U13" s="3" t="str">
        <f t="shared" ca="1" si="1"/>
        <v>2 mes(es) y 8 día(s) - vence: 08/10/2026</v>
      </c>
    </row>
    <row r="14" spans="1:21" x14ac:dyDescent="0.25">
      <c r="A14" s="3" t="s">
        <v>19</v>
      </c>
      <c r="B14" s="13">
        <v>-3460</v>
      </c>
      <c r="C14" s="13">
        <v>0</v>
      </c>
      <c r="D14" s="13">
        <v>0</v>
      </c>
      <c r="E14" s="13">
        <v>0</v>
      </c>
      <c r="F14" s="13">
        <v>-3456</v>
      </c>
      <c r="G14" s="13">
        <v>-3456</v>
      </c>
      <c r="H14" s="13">
        <v>-3456</v>
      </c>
      <c r="I14" s="4">
        <v>-1728</v>
      </c>
      <c r="J14" s="4">
        <v>-3456</v>
      </c>
      <c r="K14" s="4">
        <v>-7296</v>
      </c>
      <c r="L14" s="4">
        <v>-15360</v>
      </c>
      <c r="M14" s="6">
        <v>18000</v>
      </c>
      <c r="N14" s="3">
        <v>13632</v>
      </c>
      <c r="O14" s="5">
        <f>M14*3</f>
        <v>54000</v>
      </c>
      <c r="P14" s="5">
        <f>O14*0.2</f>
        <v>10800</v>
      </c>
      <c r="Q14" s="6">
        <f>O14+P14</f>
        <v>64800</v>
      </c>
      <c r="R14" s="5">
        <v>65000</v>
      </c>
      <c r="S14" s="3">
        <f>R14*2</f>
        <v>130000</v>
      </c>
      <c r="T14" s="7">
        <f t="shared" si="0"/>
        <v>0.62916923076923081</v>
      </c>
      <c r="U14" s="3" t="str">
        <f t="shared" ca="1" si="1"/>
        <v>0 mes(es) y 19 día(s) - vence: 19/08/2026</v>
      </c>
    </row>
    <row r="15" spans="1:21" x14ac:dyDescent="0.25">
      <c r="A15" s="4" t="s">
        <v>54</v>
      </c>
      <c r="B15" s="13">
        <v>0</v>
      </c>
      <c r="C15" s="13">
        <v>0</v>
      </c>
      <c r="D15" s="13">
        <v>0</v>
      </c>
      <c r="E15" s="13">
        <v>0</v>
      </c>
      <c r="F15" s="13">
        <v>-660</v>
      </c>
      <c r="G15" s="13">
        <v>-1700</v>
      </c>
      <c r="H15" s="13">
        <v>-1130</v>
      </c>
      <c r="I15" s="4">
        <v>-235</v>
      </c>
      <c r="J15" s="4">
        <v>-60</v>
      </c>
      <c r="K15" s="4">
        <v>-220</v>
      </c>
      <c r="L15" s="4">
        <v>-55</v>
      </c>
      <c r="M15" s="6">
        <v>143</v>
      </c>
      <c r="N15" s="3">
        <v>6000</v>
      </c>
      <c r="O15" s="5">
        <f>M15*3</f>
        <v>429</v>
      </c>
      <c r="P15" s="5">
        <f>O15*0.2</f>
        <v>85.800000000000011</v>
      </c>
      <c r="Q15" s="6">
        <f>O15+P15</f>
        <v>514.79999999999995</v>
      </c>
      <c r="R15" s="3">
        <v>5000</v>
      </c>
      <c r="S15" s="3">
        <f>R15*2</f>
        <v>10000</v>
      </c>
      <c r="T15" s="7">
        <f t="shared" si="0"/>
        <v>3.6</v>
      </c>
      <c r="U15" s="3" t="str">
        <f t="shared" ca="1" si="1"/>
        <v>3 mes(es) y 18 día(s) - vence: 17/11/2026</v>
      </c>
    </row>
    <row r="16" spans="1:21" x14ac:dyDescent="0.25">
      <c r="A16" s="3" t="s">
        <v>42</v>
      </c>
      <c r="B16" s="13">
        <v>-5690</v>
      </c>
      <c r="C16" s="13">
        <v>-5627</v>
      </c>
      <c r="D16" s="13">
        <v>-5900</v>
      </c>
      <c r="E16" s="13">
        <v>0</v>
      </c>
      <c r="F16" s="13">
        <v>0</v>
      </c>
      <c r="G16" s="13">
        <v>0</v>
      </c>
      <c r="H16" s="13">
        <v>-6100</v>
      </c>
      <c r="I16" s="4">
        <v>-19200</v>
      </c>
      <c r="J16" s="4">
        <v>-16400</v>
      </c>
      <c r="K16" s="4">
        <v>0</v>
      </c>
      <c r="L16" s="4">
        <v>0</v>
      </c>
      <c r="M16" s="6">
        <v>15000</v>
      </c>
      <c r="N16" s="5">
        <v>77000</v>
      </c>
      <c r="O16" s="5">
        <f>M16*3</f>
        <v>45000</v>
      </c>
      <c r="P16" s="5">
        <f>O16*0.2</f>
        <v>9000</v>
      </c>
      <c r="Q16" s="6">
        <f>O16+P16</f>
        <v>54000</v>
      </c>
      <c r="R16" s="3">
        <v>40000</v>
      </c>
      <c r="S16" s="3">
        <f>R16*2</f>
        <v>80000</v>
      </c>
      <c r="T16" s="7">
        <f t="shared" si="0"/>
        <v>5.7750000000000004</v>
      </c>
      <c r="U16" s="3" t="str">
        <f t="shared" ca="1" si="1"/>
        <v>5 mes(es) y 23 día(s) - vence: 21/01/2027</v>
      </c>
    </row>
    <row r="17" spans="1:21" x14ac:dyDescent="0.25">
      <c r="A17" s="3" t="s">
        <v>41</v>
      </c>
      <c r="B17" s="13">
        <v>0</v>
      </c>
      <c r="C17" s="13">
        <v>-7661</v>
      </c>
      <c r="D17" s="13">
        <v>-100</v>
      </c>
      <c r="E17" s="13">
        <v>-3200</v>
      </c>
      <c r="F17" s="13">
        <v>0</v>
      </c>
      <c r="G17" s="13">
        <v>0</v>
      </c>
      <c r="H17" s="13">
        <v>-1300</v>
      </c>
      <c r="I17" s="4">
        <v>0</v>
      </c>
      <c r="J17" s="4">
        <v>-15600</v>
      </c>
      <c r="K17" s="4">
        <v>0</v>
      </c>
      <c r="L17" s="4">
        <v>0</v>
      </c>
      <c r="M17" s="6">
        <v>15000</v>
      </c>
      <c r="N17" s="5">
        <v>48400</v>
      </c>
      <c r="O17" s="5">
        <f>M17*3</f>
        <v>45000</v>
      </c>
      <c r="P17" s="5">
        <f>O17*0.2</f>
        <v>9000</v>
      </c>
      <c r="Q17" s="6">
        <f>O17+P17</f>
        <v>54000</v>
      </c>
      <c r="R17" s="3">
        <v>40000</v>
      </c>
      <c r="S17" s="3">
        <f>R17*2</f>
        <v>80000</v>
      </c>
      <c r="T17" s="7">
        <f t="shared" si="0"/>
        <v>3.63</v>
      </c>
      <c r="U17" s="3" t="str">
        <f t="shared" ca="1" si="1"/>
        <v>3 mes(es) y 19 día(s) - vence: 17/11/2026</v>
      </c>
    </row>
    <row r="18" spans="1:21" x14ac:dyDescent="0.25">
      <c r="A18" s="3" t="s">
        <v>40</v>
      </c>
      <c r="B18" s="13">
        <v>-5380</v>
      </c>
      <c r="C18" s="13">
        <v>-8820</v>
      </c>
      <c r="D18" s="13">
        <v>-6400</v>
      </c>
      <c r="E18" s="13">
        <v>0</v>
      </c>
      <c r="F18" s="13">
        <v>0</v>
      </c>
      <c r="G18" s="13">
        <v>0</v>
      </c>
      <c r="H18" s="13">
        <v>-6400</v>
      </c>
      <c r="I18" s="4">
        <v>-6000</v>
      </c>
      <c r="J18" s="4">
        <v>-9000</v>
      </c>
      <c r="K18" s="4">
        <v>0</v>
      </c>
      <c r="L18" s="4">
        <v>-1900</v>
      </c>
      <c r="M18" s="6">
        <v>5000</v>
      </c>
      <c r="N18" s="5">
        <v>68800</v>
      </c>
      <c r="O18" s="5">
        <f>M18*3</f>
        <v>15000</v>
      </c>
      <c r="P18" s="5">
        <f>O18*0.2</f>
        <v>3000</v>
      </c>
      <c r="Q18" s="6">
        <f>O18+P18</f>
        <v>18000</v>
      </c>
      <c r="R18" s="3">
        <v>40000</v>
      </c>
      <c r="S18" s="3">
        <f>R18*2</f>
        <v>80000</v>
      </c>
      <c r="T18" s="7">
        <f t="shared" si="0"/>
        <v>5.16</v>
      </c>
      <c r="U18" s="3" t="str">
        <f t="shared" ca="1" si="1"/>
        <v>5 mes(es) y 5 día(s) - vence: 02/01/2027</v>
      </c>
    </row>
    <row r="19" spans="1:21" x14ac:dyDescent="0.25">
      <c r="A19" s="3" t="s">
        <v>43</v>
      </c>
      <c r="B19" s="13">
        <v>-6200</v>
      </c>
      <c r="C19" s="13">
        <v>-6559</v>
      </c>
      <c r="D19" s="13">
        <v>0</v>
      </c>
      <c r="E19" s="13">
        <v>-6000</v>
      </c>
      <c r="F19" s="13">
        <v>0</v>
      </c>
      <c r="G19" s="13">
        <v>0</v>
      </c>
      <c r="H19" s="13">
        <v>-6600</v>
      </c>
      <c r="I19" s="4">
        <v>-12000</v>
      </c>
      <c r="J19" s="4">
        <v>-12000</v>
      </c>
      <c r="K19" s="4">
        <v>0</v>
      </c>
      <c r="L19" s="4">
        <v>-6000</v>
      </c>
      <c r="M19" s="6">
        <v>12000</v>
      </c>
      <c r="N19" s="5">
        <v>62300</v>
      </c>
      <c r="O19" s="5">
        <f>M19*3</f>
        <v>36000</v>
      </c>
      <c r="P19" s="5">
        <f>O19*0.2</f>
        <v>7200</v>
      </c>
      <c r="Q19" s="6">
        <f>O19+P19</f>
        <v>43200</v>
      </c>
      <c r="R19" s="3">
        <v>40000</v>
      </c>
      <c r="S19" s="3">
        <f>R19*2</f>
        <v>80000</v>
      </c>
      <c r="T19" s="7">
        <f t="shared" si="0"/>
        <v>4.6725000000000003</v>
      </c>
      <c r="U19" s="3" t="str">
        <f t="shared" ca="1" si="1"/>
        <v>4 mes(es) y 20 día(s) - vence: 19/12/2026</v>
      </c>
    </row>
    <row r="20" spans="1:21" x14ac:dyDescent="0.25">
      <c r="A20" s="3" t="s">
        <v>8</v>
      </c>
      <c r="B20" s="13">
        <v>-2933</v>
      </c>
      <c r="C20" s="13">
        <v>-2808</v>
      </c>
      <c r="D20" s="13">
        <v>-2968</v>
      </c>
      <c r="E20" s="13">
        <v>-3432</v>
      </c>
      <c r="F20" s="13">
        <v>-4000</v>
      </c>
      <c r="G20" s="13">
        <v>-3841</v>
      </c>
      <c r="H20" s="13">
        <v>-4584</v>
      </c>
      <c r="I20" s="4">
        <v>-1920</v>
      </c>
      <c r="J20" s="4">
        <v>-2400</v>
      </c>
      <c r="K20" s="4">
        <v>-3360</v>
      </c>
      <c r="L20" s="4">
        <v>-708</v>
      </c>
      <c r="M20" s="6">
        <v>2000</v>
      </c>
      <c r="N20" s="5">
        <v>54400</v>
      </c>
      <c r="O20" s="5">
        <f>M20*3</f>
        <v>6000</v>
      </c>
      <c r="P20" s="5">
        <f>O20*0.2</f>
        <v>1200</v>
      </c>
      <c r="Q20" s="6">
        <f>O20+P20</f>
        <v>7200</v>
      </c>
      <c r="R20" s="3">
        <v>10000</v>
      </c>
      <c r="S20" s="3">
        <f>R20*2</f>
        <v>20000</v>
      </c>
      <c r="T20" s="7">
        <f t="shared" si="0"/>
        <v>16.32</v>
      </c>
      <c r="U20" s="3" t="str">
        <f t="shared" ref="U20:U21" ca="1" si="2">INT(T20)&amp;" mes(es) y "&amp;ROUND(MOD(T20,1)*30,0)&amp;" día(s) - vence: "&amp;TEXT(TODAY()+T20*30,"dd/mm/yyyy")</f>
        <v>16 mes(es) y 10 día(s) - vence: 03/12/2027</v>
      </c>
    </row>
    <row r="21" spans="1:21" x14ac:dyDescent="0.25">
      <c r="A21" s="3" t="s">
        <v>9</v>
      </c>
      <c r="B21" s="13">
        <v>-1112</v>
      </c>
      <c r="C21" s="13">
        <v>-1264</v>
      </c>
      <c r="D21" s="13">
        <v>-1007</v>
      </c>
      <c r="E21" s="13">
        <v>-1244</v>
      </c>
      <c r="F21" s="13">
        <v>-980</v>
      </c>
      <c r="G21" s="13">
        <v>-768</v>
      </c>
      <c r="H21" s="13">
        <v>-1306</v>
      </c>
      <c r="I21" s="4">
        <v>-576</v>
      </c>
      <c r="J21" s="4">
        <v>-1584</v>
      </c>
      <c r="K21" s="4">
        <v>-576</v>
      </c>
      <c r="L21" s="4">
        <v>-788</v>
      </c>
      <c r="M21" s="6">
        <v>900</v>
      </c>
      <c r="N21" s="5">
        <v>13036</v>
      </c>
      <c r="O21" s="5">
        <f>M21*3</f>
        <v>2700</v>
      </c>
      <c r="P21" s="5">
        <f>O21*0.2</f>
        <v>540</v>
      </c>
      <c r="Q21" s="6">
        <f>O21+P21</f>
        <v>3240</v>
      </c>
      <c r="R21" s="3">
        <v>5000</v>
      </c>
      <c r="S21" s="3">
        <f>R21*2</f>
        <v>10000</v>
      </c>
      <c r="T21" s="7">
        <f t="shared" si="0"/>
        <v>7.8216000000000001</v>
      </c>
      <c r="U21" s="3" t="str">
        <f t="shared" ca="1" si="2"/>
        <v>7 mes(es) y 25 día(s) - vence: 23/03/2027</v>
      </c>
    </row>
  </sheetData>
  <autoFilter ref="A1:S16" xr:uid="{D8FE7B0A-FE51-4F99-B8DB-6818AEF91406}">
    <sortState xmlns:xlrd2="http://schemas.microsoft.com/office/spreadsheetml/2017/richdata2" ref="A2:S21">
      <sortCondition ref="A1:A16"/>
    </sortState>
  </autoFilter>
  <conditionalFormatting sqref="N2:N21">
    <cfRule type="expression" dxfId="0" priority="1">
      <formula>N2&lt;$R2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0DFC-F256-488C-8924-2AD4C9A7EA7B}">
  <sheetPr>
    <tabColor rgb="FF00B050"/>
    <pageSetUpPr autoPageBreaks="0"/>
  </sheetPr>
  <dimension ref="A1:D39"/>
  <sheetViews>
    <sheetView zoomScale="53" zoomScaleNormal="85" workbookViewId="0">
      <selection activeCell="O21" sqref="O21"/>
    </sheetView>
  </sheetViews>
  <sheetFormatPr baseColWidth="10" defaultRowHeight="15" x14ac:dyDescent="0.25"/>
  <cols>
    <col min="1" max="1" width="117.140625" customWidth="1"/>
    <col min="2" max="2" width="19" customWidth="1"/>
    <col min="3" max="3" width="23.85546875" customWidth="1"/>
    <col min="4" max="4" width="14" bestFit="1" customWidth="1"/>
  </cols>
  <sheetData>
    <row r="1" spans="1:4" ht="26.25" x14ac:dyDescent="0.4">
      <c r="A1" s="9" t="s">
        <v>21</v>
      </c>
      <c r="B1" s="9" t="s">
        <v>20</v>
      </c>
      <c r="C1" s="9" t="s">
        <v>44</v>
      </c>
      <c r="D1" s="9" t="s">
        <v>17</v>
      </c>
    </row>
    <row r="2" spans="1:4" ht="26.25" x14ac:dyDescent="0.4">
      <c r="A2" s="12" t="s">
        <v>59</v>
      </c>
      <c r="B2" s="10">
        <v>1329</v>
      </c>
      <c r="C2" s="10">
        <v>500</v>
      </c>
      <c r="D2" s="10">
        <f t="shared" ref="D2:D31" si="0">C2*2</f>
        <v>1000</v>
      </c>
    </row>
    <row r="3" spans="1:4" ht="26.25" x14ac:dyDescent="0.4">
      <c r="A3" s="12" t="s">
        <v>66</v>
      </c>
      <c r="B3" s="11">
        <v>471</v>
      </c>
      <c r="C3" s="11">
        <v>600</v>
      </c>
      <c r="D3" s="11">
        <f t="shared" si="0"/>
        <v>1200</v>
      </c>
    </row>
    <row r="4" spans="1:4" ht="26.25" x14ac:dyDescent="0.4">
      <c r="A4" s="12" t="s">
        <v>58</v>
      </c>
      <c r="B4" s="10">
        <v>720</v>
      </c>
      <c r="C4" s="10">
        <v>400</v>
      </c>
      <c r="D4" s="10">
        <f t="shared" si="0"/>
        <v>800</v>
      </c>
    </row>
    <row r="5" spans="1:4" ht="26.25" x14ac:dyDescent="0.4">
      <c r="A5" s="12" t="s">
        <v>32</v>
      </c>
      <c r="B5" s="10">
        <v>193</v>
      </c>
      <c r="C5" s="10">
        <v>70</v>
      </c>
      <c r="D5" s="10">
        <f t="shared" si="0"/>
        <v>140</v>
      </c>
    </row>
    <row r="6" spans="1:4" ht="26.25" x14ac:dyDescent="0.4">
      <c r="A6" s="12" t="s">
        <v>65</v>
      </c>
      <c r="B6" s="10">
        <v>90</v>
      </c>
      <c r="C6" s="10">
        <v>70</v>
      </c>
      <c r="D6" s="10">
        <f t="shared" si="0"/>
        <v>140</v>
      </c>
    </row>
    <row r="7" spans="1:4" ht="26.25" x14ac:dyDescent="0.4">
      <c r="A7" s="12" t="s">
        <v>34</v>
      </c>
      <c r="B7" s="10">
        <v>300</v>
      </c>
      <c r="C7" s="10">
        <v>80</v>
      </c>
      <c r="D7" s="10">
        <f t="shared" si="0"/>
        <v>160</v>
      </c>
    </row>
    <row r="8" spans="1:4" ht="26.25" x14ac:dyDescent="0.4">
      <c r="A8" s="12" t="s">
        <v>60</v>
      </c>
      <c r="B8" s="10">
        <v>63</v>
      </c>
      <c r="C8" s="10">
        <v>30</v>
      </c>
      <c r="D8" s="10">
        <f t="shared" si="0"/>
        <v>60</v>
      </c>
    </row>
    <row r="9" spans="1:4" ht="26.25" x14ac:dyDescent="0.4">
      <c r="A9" s="12" t="s">
        <v>36</v>
      </c>
      <c r="B9" s="10">
        <v>75</v>
      </c>
      <c r="C9" s="10">
        <v>30</v>
      </c>
      <c r="D9" s="10">
        <f t="shared" si="0"/>
        <v>60</v>
      </c>
    </row>
    <row r="10" spans="1:4" ht="26.25" x14ac:dyDescent="0.4">
      <c r="A10" s="12" t="s">
        <v>30</v>
      </c>
      <c r="B10" s="10">
        <v>46</v>
      </c>
      <c r="C10" s="10">
        <v>30</v>
      </c>
      <c r="D10" s="10">
        <f t="shared" si="0"/>
        <v>60</v>
      </c>
    </row>
    <row r="11" spans="1:4" ht="26.25" x14ac:dyDescent="0.4">
      <c r="A11" s="12" t="s">
        <v>38</v>
      </c>
      <c r="B11" s="10">
        <v>46</v>
      </c>
      <c r="C11" s="10">
        <v>30</v>
      </c>
      <c r="D11" s="10">
        <f t="shared" si="0"/>
        <v>60</v>
      </c>
    </row>
    <row r="12" spans="1:4" ht="26.25" x14ac:dyDescent="0.4">
      <c r="A12" s="12" t="s">
        <v>61</v>
      </c>
      <c r="B12" s="10">
        <v>42</v>
      </c>
      <c r="C12" s="10">
        <v>100</v>
      </c>
      <c r="D12" s="10">
        <f t="shared" si="0"/>
        <v>200</v>
      </c>
    </row>
    <row r="13" spans="1:4" ht="26.25" x14ac:dyDescent="0.4">
      <c r="A13" s="12" t="s">
        <v>33</v>
      </c>
      <c r="B13" s="10">
        <v>46</v>
      </c>
      <c r="C13" s="10">
        <v>40</v>
      </c>
      <c r="D13" s="10">
        <f t="shared" si="0"/>
        <v>80</v>
      </c>
    </row>
    <row r="14" spans="1:4" ht="26.25" x14ac:dyDescent="0.4">
      <c r="A14" s="12" t="s">
        <v>31</v>
      </c>
      <c r="B14" s="10">
        <v>14</v>
      </c>
      <c r="C14" s="10">
        <v>50</v>
      </c>
      <c r="D14" s="10">
        <f t="shared" si="0"/>
        <v>100</v>
      </c>
    </row>
    <row r="15" spans="1:4" ht="26.25" x14ac:dyDescent="0.4">
      <c r="A15" s="12" t="s">
        <v>46</v>
      </c>
      <c r="B15" s="10">
        <v>30</v>
      </c>
      <c r="C15" s="10">
        <v>1</v>
      </c>
      <c r="D15" s="10">
        <f t="shared" si="0"/>
        <v>2</v>
      </c>
    </row>
    <row r="16" spans="1:4" ht="26.25" x14ac:dyDescent="0.4">
      <c r="A16" s="12" t="s">
        <v>45</v>
      </c>
      <c r="B16" s="10">
        <v>25</v>
      </c>
      <c r="C16" s="10">
        <v>1</v>
      </c>
      <c r="D16" s="10">
        <f t="shared" si="0"/>
        <v>2</v>
      </c>
    </row>
    <row r="17" spans="1:4" ht="26.25" x14ac:dyDescent="0.4">
      <c r="A17" s="12" t="s">
        <v>24</v>
      </c>
      <c r="B17" s="10">
        <v>17</v>
      </c>
      <c r="C17" s="10">
        <v>15</v>
      </c>
      <c r="D17" s="10">
        <f t="shared" si="0"/>
        <v>30</v>
      </c>
    </row>
    <row r="18" spans="1:4" ht="26.25" x14ac:dyDescent="0.4">
      <c r="A18" s="12" t="s">
        <v>22</v>
      </c>
      <c r="B18" s="10">
        <v>22</v>
      </c>
      <c r="C18" s="10">
        <v>30</v>
      </c>
      <c r="D18" s="10">
        <f t="shared" si="0"/>
        <v>60</v>
      </c>
    </row>
    <row r="19" spans="1:4" ht="26.25" x14ac:dyDescent="0.4">
      <c r="A19" s="12" t="s">
        <v>25</v>
      </c>
      <c r="B19" s="10">
        <v>15</v>
      </c>
      <c r="C19" s="10">
        <v>15</v>
      </c>
      <c r="D19" s="10">
        <f t="shared" si="0"/>
        <v>30</v>
      </c>
    </row>
    <row r="20" spans="1:4" ht="26.25" x14ac:dyDescent="0.4">
      <c r="A20" s="12" t="s">
        <v>35</v>
      </c>
      <c r="B20" s="10">
        <v>11</v>
      </c>
      <c r="C20" s="10">
        <v>15</v>
      </c>
      <c r="D20" s="10">
        <f t="shared" si="0"/>
        <v>30</v>
      </c>
    </row>
    <row r="21" spans="1:4" ht="26.25" x14ac:dyDescent="0.4">
      <c r="A21" s="12" t="s">
        <v>74</v>
      </c>
      <c r="B21" s="11">
        <v>3</v>
      </c>
      <c r="C21" s="11">
        <v>0</v>
      </c>
      <c r="D21" s="11">
        <f t="shared" si="0"/>
        <v>0</v>
      </c>
    </row>
    <row r="22" spans="1:4" ht="26.25" x14ac:dyDescent="0.4">
      <c r="A22" s="12" t="s">
        <v>23</v>
      </c>
      <c r="B22" s="10">
        <v>13</v>
      </c>
      <c r="C22" s="10">
        <v>15</v>
      </c>
      <c r="D22" s="10">
        <f t="shared" si="0"/>
        <v>30</v>
      </c>
    </row>
    <row r="23" spans="1:4" ht="26.25" x14ac:dyDescent="0.4">
      <c r="A23" s="12" t="s">
        <v>26</v>
      </c>
      <c r="B23" s="10">
        <v>12</v>
      </c>
      <c r="C23" s="10">
        <v>12</v>
      </c>
      <c r="D23" s="10">
        <f t="shared" si="0"/>
        <v>24</v>
      </c>
    </row>
    <row r="24" spans="1:4" ht="26.25" x14ac:dyDescent="0.4">
      <c r="A24" s="12" t="s">
        <v>27</v>
      </c>
      <c r="B24" s="10">
        <v>9</v>
      </c>
      <c r="C24" s="10">
        <v>15</v>
      </c>
      <c r="D24" s="10">
        <f t="shared" si="0"/>
        <v>30</v>
      </c>
    </row>
    <row r="25" spans="1:4" ht="26.25" x14ac:dyDescent="0.4">
      <c r="A25" s="12" t="s">
        <v>47</v>
      </c>
      <c r="B25" s="10">
        <v>9</v>
      </c>
      <c r="C25" s="10">
        <v>1</v>
      </c>
      <c r="D25" s="10">
        <f t="shared" si="0"/>
        <v>2</v>
      </c>
    </row>
    <row r="26" spans="1:4" ht="26.25" x14ac:dyDescent="0.4">
      <c r="A26" s="12" t="s">
        <v>28</v>
      </c>
      <c r="B26" s="10">
        <v>9</v>
      </c>
      <c r="C26" s="10">
        <v>10</v>
      </c>
      <c r="D26" s="10">
        <f t="shared" si="0"/>
        <v>20</v>
      </c>
    </row>
    <row r="27" spans="1:4" ht="26.25" x14ac:dyDescent="0.4">
      <c r="A27" s="12" t="s">
        <v>64</v>
      </c>
      <c r="B27" s="10">
        <v>5</v>
      </c>
      <c r="C27" s="10">
        <v>12</v>
      </c>
      <c r="D27" s="10">
        <f t="shared" si="0"/>
        <v>24</v>
      </c>
    </row>
    <row r="28" spans="1:4" ht="26.25" x14ac:dyDescent="0.4">
      <c r="A28" s="12" t="s">
        <v>50</v>
      </c>
      <c r="B28" s="10">
        <v>8</v>
      </c>
      <c r="C28" s="10">
        <v>1</v>
      </c>
      <c r="D28" s="10">
        <f t="shared" si="0"/>
        <v>2</v>
      </c>
    </row>
    <row r="29" spans="1:4" ht="26.25" x14ac:dyDescent="0.4">
      <c r="A29" s="12" t="s">
        <v>51</v>
      </c>
      <c r="B29" s="10">
        <v>8</v>
      </c>
      <c r="C29" s="10">
        <v>1</v>
      </c>
      <c r="D29" s="10">
        <f t="shared" si="0"/>
        <v>2</v>
      </c>
    </row>
    <row r="30" spans="1:4" ht="26.25" x14ac:dyDescent="0.4">
      <c r="A30" s="12" t="s">
        <v>68</v>
      </c>
      <c r="B30" s="10">
        <v>5</v>
      </c>
      <c r="C30" s="10">
        <v>12</v>
      </c>
      <c r="D30" s="10">
        <f t="shared" si="0"/>
        <v>24</v>
      </c>
    </row>
    <row r="31" spans="1:4" ht="26.25" x14ac:dyDescent="0.4">
      <c r="A31" s="12" t="s">
        <v>29</v>
      </c>
      <c r="B31" s="10">
        <v>7</v>
      </c>
      <c r="C31" s="10">
        <v>1</v>
      </c>
      <c r="D31" s="10">
        <f t="shared" si="0"/>
        <v>2</v>
      </c>
    </row>
    <row r="32" spans="1:4" ht="26.25" x14ac:dyDescent="0.4">
      <c r="A32" s="12" t="s">
        <v>73</v>
      </c>
      <c r="B32" s="11">
        <v>5</v>
      </c>
      <c r="C32" s="11">
        <v>0</v>
      </c>
      <c r="D32" s="11">
        <v>0</v>
      </c>
    </row>
    <row r="33" spans="1:4" ht="26.25" x14ac:dyDescent="0.4">
      <c r="A33" s="12" t="s">
        <v>63</v>
      </c>
      <c r="B33" s="10">
        <v>5</v>
      </c>
      <c r="C33" s="10">
        <v>30</v>
      </c>
      <c r="D33" s="10">
        <f t="shared" ref="D33:D38" si="1">C33*2</f>
        <v>60</v>
      </c>
    </row>
    <row r="34" spans="1:4" ht="26.25" x14ac:dyDescent="0.4">
      <c r="A34" s="12" t="s">
        <v>37</v>
      </c>
      <c r="B34" s="11">
        <v>16</v>
      </c>
      <c r="C34" s="11">
        <v>0</v>
      </c>
      <c r="D34" s="11">
        <f t="shared" si="1"/>
        <v>0</v>
      </c>
    </row>
    <row r="35" spans="1:4" ht="26.25" x14ac:dyDescent="0.4">
      <c r="A35" s="12" t="s">
        <v>48</v>
      </c>
      <c r="B35" s="10">
        <v>5</v>
      </c>
      <c r="C35" s="10">
        <v>1</v>
      </c>
      <c r="D35" s="10">
        <f t="shared" si="1"/>
        <v>2</v>
      </c>
    </row>
    <row r="36" spans="1:4" ht="26.25" x14ac:dyDescent="0.4">
      <c r="A36" s="12" t="s">
        <v>49</v>
      </c>
      <c r="B36" s="10">
        <v>5</v>
      </c>
      <c r="C36" s="10">
        <v>1</v>
      </c>
      <c r="D36" s="10">
        <f t="shared" si="1"/>
        <v>2</v>
      </c>
    </row>
    <row r="37" spans="1:4" ht="26.25" x14ac:dyDescent="0.4">
      <c r="A37" s="12" t="s">
        <v>62</v>
      </c>
      <c r="B37" s="10">
        <v>1</v>
      </c>
      <c r="C37" s="10">
        <v>4</v>
      </c>
      <c r="D37" s="10">
        <f t="shared" si="1"/>
        <v>8</v>
      </c>
    </row>
    <row r="38" spans="1:4" ht="26.25" x14ac:dyDescent="0.4">
      <c r="A38" s="12" t="s">
        <v>67</v>
      </c>
      <c r="B38" s="11">
        <v>2</v>
      </c>
      <c r="C38" s="11">
        <v>5</v>
      </c>
      <c r="D38" s="11">
        <f t="shared" si="1"/>
        <v>10</v>
      </c>
    </row>
    <row r="39" spans="1:4" ht="26.25" x14ac:dyDescent="0.4">
      <c r="A39" s="12" t="s">
        <v>76</v>
      </c>
      <c r="B39" s="11">
        <v>2</v>
      </c>
      <c r="C39" s="11">
        <v>0</v>
      </c>
      <c r="D39" s="11">
        <f>C39*2</f>
        <v>0</v>
      </c>
    </row>
  </sheetData>
  <autoFilter ref="A1:D34" xr:uid="{20DF0DFC-F256-488C-8924-2AD4C9A7EA7B}">
    <sortState xmlns:xlrd2="http://schemas.microsoft.com/office/spreadsheetml/2017/richdata2" ref="A2:D38">
      <sortCondition descending="1" ref="B1:B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IMP-STO</vt:lpstr>
      <vt:lpstr>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LUAN</cp:lastModifiedBy>
  <dcterms:created xsi:type="dcterms:W3CDTF">2025-12-04T13:32:32Z</dcterms:created>
  <dcterms:modified xsi:type="dcterms:W3CDTF">2026-08-01T16:50:59Z</dcterms:modified>
</cp:coreProperties>
</file>